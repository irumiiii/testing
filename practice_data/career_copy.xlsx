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1rou/Library/Mobile Documents/com~apple~CloudDocs/Documents/Documents/UBC/Documents/Job/"/>
    </mc:Choice>
  </mc:AlternateContent>
  <xr:revisionPtr revIDLastSave="0" documentId="13_ncr:1_{5F7A107F-1B11-9F49-AA9A-7131580E3FC2}" xr6:coauthVersionLast="47" xr6:coauthVersionMax="47" xr10:uidLastSave="{00000000-0000-0000-0000-000000000000}"/>
  <bookViews>
    <workbookView xWindow="0" yWindow="660" windowWidth="29400" windowHeight="18460" activeTab="5" xr2:uid="{D4804A28-939B-A949-ACF5-7287C8A32177}"/>
  </bookViews>
  <sheets>
    <sheet name="4학년 랩" sheetId="1" r:id="rId1"/>
    <sheet name="Work learn" sheetId="2" r:id="rId2"/>
    <sheet name="日本の大学院" sheetId="3" r:id="rId3"/>
    <sheet name="カナダの大学院" sheetId="4" r:id="rId4"/>
    <sheet name="アメリカの大学院" sheetId="6" r:id="rId5"/>
    <sheet name="운동" sheetId="5" r:id="rId6"/>
    <sheet name="Bioinformatic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E21" i="5"/>
  <c r="E19" i="5"/>
  <c r="E18" i="5"/>
  <c r="E17" i="5"/>
</calcChain>
</file>

<file path=xl/sharedStrings.xml><?xml version="1.0" encoding="utf-8"?>
<sst xmlns="http://schemas.openxmlformats.org/spreadsheetml/2006/main" count="165" uniqueCount="138">
  <si>
    <t>Lab Name</t>
  </si>
  <si>
    <t>Status</t>
  </si>
  <si>
    <t>Site</t>
  </si>
  <si>
    <t>https://www.rodrigueslab.ca</t>
  </si>
  <si>
    <t>Rodrigue Lab</t>
  </si>
  <si>
    <t>Topic</t>
  </si>
  <si>
    <t>https://www.finbloomlab.com/research</t>
  </si>
  <si>
    <t>Finbloom Lab</t>
  </si>
  <si>
    <t>❌</t>
  </si>
  <si>
    <t>✅</t>
  </si>
  <si>
    <t>Cardiac metabolism, lipoprotein lipase, diabetic cardiomyopathy</t>
  </si>
  <si>
    <t>Nanomaterials for antibiotic-resistant infections, drug delivery</t>
  </si>
  <si>
    <t>Li Lab</t>
  </si>
  <si>
    <t>https://lilab-tddn.pharmsci.ubc.ca/about/</t>
  </si>
  <si>
    <t>Drug delivery systems for biologics (peptides, antibodies, nucleic acids), cancer</t>
  </si>
  <si>
    <t>Wisnovsky Lab</t>
  </si>
  <si>
    <t>https://www.wisnovskylab.ca</t>
  </si>
  <si>
    <t>Cell-surface glycobiology, CRISPR screens, cancer immunotherapy targets</t>
  </si>
  <si>
    <t>慶應大学</t>
  </si>
  <si>
    <t>学科</t>
  </si>
  <si>
    <t>教室</t>
  </si>
  <si>
    <t>メール</t>
  </si>
  <si>
    <t>東京大学</t>
  </si>
  <si>
    <t>サイト</t>
  </si>
  <si>
    <t>東京科学大学</t>
  </si>
  <si>
    <t>連絡先</t>
  </si>
  <si>
    <t>https://rouka.f.u-tokyo.ac.jp/research_English.html</t>
  </si>
  <si>
    <t>akiko.takahashi@mol.f.u-tokyo.ac.jp</t>
  </si>
  <si>
    <t>細胞老化生物学</t>
  </si>
  <si>
    <t>薬学研究科</t>
  </si>
  <si>
    <t>核酸制御学</t>
  </si>
  <si>
    <t>https://akimitsu.ric.u-tokyo.ac.jp</t>
  </si>
  <si>
    <t>akimitsu@ric.u-tokyo.ac.jp</t>
  </si>
  <si>
    <t>医学研究科</t>
  </si>
  <si>
    <t>医科学教室</t>
  </si>
  <si>
    <t>https://organoidmed.org/en</t>
  </si>
  <si>
    <t>Blakney Lab</t>
  </si>
  <si>
    <t>https://blakneylab.msl.ubc.ca</t>
  </si>
  <si>
    <t>Self-amplifying RNA Vaccines, LNP Delivery</t>
  </si>
  <si>
    <t>LEGenD Lab</t>
  </si>
  <si>
    <t>Gene therapies, LNP, mRNA design</t>
  </si>
  <si>
    <t>https://www.miffychenglab.com/research</t>
  </si>
  <si>
    <t>遺伝学</t>
  </si>
  <si>
    <t>https://idenut.f.u-tokyo.ac.jp/contact-form/</t>
  </si>
  <si>
    <t>miura@mol.f.u-tokyo.ac.jp</t>
  </si>
  <si>
    <t>RNP生命工学</t>
  </si>
  <si>
    <t>https://www.iqb.u-tokyo.ac.jp/hirohidesaito-tokyo/en/about/</t>
  </si>
  <si>
    <t>saitolab_tokyo-staff@googlegroups.com</t>
  </si>
  <si>
    <t>Pull 1</t>
  </si>
  <si>
    <t>Pull 2</t>
  </si>
  <si>
    <t>Pull 3</t>
  </si>
  <si>
    <t>Pull 4</t>
  </si>
  <si>
    <t>Chin 1</t>
  </si>
  <si>
    <t xml:space="preserve">Chin2 </t>
  </si>
  <si>
    <t>Chin 3</t>
  </si>
  <si>
    <t>Kume&amp;Shiraki Lab</t>
  </si>
  <si>
    <t>生命理工学研究室</t>
  </si>
  <si>
    <t>http://www.stem.life.isct.ac.jp</t>
  </si>
  <si>
    <t>Note</t>
  </si>
  <si>
    <t>Modelling organ development and homeostasis using human iPS cells; pluripotent stem cell, drug development, regenerative medicine</t>
  </si>
  <si>
    <t>Kano Lab</t>
  </si>
  <si>
    <t>http://kanolab.rcb.iir.titech.ac.jp</t>
  </si>
  <si>
    <t>Development of novel cell editing systems, cell editing, iPS cells, frontier imaging analysis</t>
  </si>
  <si>
    <t>Yamayoshi Lab</t>
  </si>
  <si>
    <t>http://www.yamayoshi-lab.life.isct.ac.jp/research-en/</t>
  </si>
  <si>
    <t>Development of novel drug modality, nucleic acid drug, drug delivery system, genome editing</t>
  </si>
  <si>
    <t>分子生物学</t>
  </si>
  <si>
    <t>https://molbio.f.u-tokyo.ac.jp/english/e_publications.html</t>
  </si>
  <si>
    <t>BC Hospital</t>
  </si>
  <si>
    <t>https://www.bcchr.ca/research/find-a-researcher/megan-levings/</t>
  </si>
  <si>
    <t>Levings Lab</t>
  </si>
  <si>
    <t>iPSC cells, macrophage, immune cells</t>
  </si>
  <si>
    <t>Francis Lab</t>
  </si>
  <si>
    <t>https://www.bcchr.ca/research/find-a-researcher/francis-lynn/</t>
  </si>
  <si>
    <t>Diabetes, beta cells, iPSC cell population purification, cell differentiation, stem cells</t>
  </si>
  <si>
    <t>Bruce Lab</t>
  </si>
  <si>
    <t>https://www.bcchr.ca/research/find-a-researcher/bruce-verchere/</t>
  </si>
  <si>
    <t>Colin Lab</t>
  </si>
  <si>
    <t>Gene therapy</t>
  </si>
  <si>
    <t>https://www.bcchr.ca/research/find-a-researcher/colin-ross/</t>
  </si>
  <si>
    <t>-</t>
  </si>
  <si>
    <t>Blair Lab</t>
  </si>
  <si>
    <t>Mouse models, LNP - directed to brain</t>
  </si>
  <si>
    <t>https://www.bcchr.ca/research/find-a-researcher/blair-leavitt/</t>
  </si>
  <si>
    <t>SFU</t>
  </si>
  <si>
    <t>Valentin Jaumouille Lab</t>
  </si>
  <si>
    <t>CRISPR genome editing, immune, gene therapy, cell engineering</t>
  </si>
  <si>
    <t>https://www.sfu.ca/mbb/research/featured-research/Valentin-Jaumouille-lab-page.html</t>
  </si>
  <si>
    <t>Unrau Lab</t>
  </si>
  <si>
    <t>RNA science</t>
  </si>
  <si>
    <t>https://www.sfu.ca/mbb/research/featured-research/Peter-Unrau-lab-page.html</t>
  </si>
  <si>
    <t>Kieffer Lab</t>
  </si>
  <si>
    <t>Diabetes, iPSC differentiation, cell therapy, organoids</t>
  </si>
  <si>
    <t>https://kiefferlab.com</t>
  </si>
  <si>
    <t>Mayor Lab</t>
  </si>
  <si>
    <t xml:space="preserve">Protein aggregation, </t>
  </si>
  <si>
    <t>https://mayor51.wixsite.com/mayorlab</t>
  </si>
  <si>
    <t>Nozomu Lab</t>
  </si>
  <si>
    <t>Computational Biology, DNA history</t>
  </si>
  <si>
    <t>https://yachie-lab.org/index.html?lang=EN</t>
  </si>
  <si>
    <t>University</t>
  </si>
  <si>
    <t>Website</t>
  </si>
  <si>
    <t>https://hedtrichlab.sbme.ubc.ca</t>
  </si>
  <si>
    <t>UBC</t>
  </si>
  <si>
    <t>Hedtrich Lab</t>
  </si>
  <si>
    <t>Organ on chip models, gene therapy</t>
  </si>
  <si>
    <t>Jan Lab</t>
  </si>
  <si>
    <t>http://www.ubcjanlab.com/home/</t>
  </si>
  <si>
    <t>Translational control, RNA structure-function</t>
  </si>
  <si>
    <t xml:space="preserve"> CHANGEDTOFULL</t>
  </si>
  <si>
    <t>Upenn</t>
  </si>
  <si>
    <t>Stanford</t>
  </si>
  <si>
    <t>Univ of California</t>
  </si>
  <si>
    <t>Applicatio n Info:</t>
  </si>
  <si>
    <t>https://www.med.upenn.edu/bgs/phd-application-information.html</t>
  </si>
  <si>
    <t>Task</t>
  </si>
  <si>
    <t>Package</t>
  </si>
  <si>
    <t>Function (syntax)</t>
  </si>
  <si>
    <t>Purpose</t>
  </si>
  <si>
    <t xml:space="preserve">Week </t>
  </si>
  <si>
    <t>Exercise</t>
  </si>
  <si>
    <t>Sets</t>
  </si>
  <si>
    <t>Reps</t>
  </si>
  <si>
    <t>Volume Load</t>
  </si>
  <si>
    <t>Pullup</t>
  </si>
  <si>
    <t>Chinup</t>
  </si>
  <si>
    <t>Time held (sec)</t>
  </si>
  <si>
    <t>Weight</t>
  </si>
  <si>
    <t>dips</t>
  </si>
  <si>
    <t>wrist curl</t>
  </si>
  <si>
    <t>devil press</t>
  </si>
  <si>
    <t>dumbbell lateral raise</t>
  </si>
  <si>
    <t>pullup bar dips</t>
  </si>
  <si>
    <t>diamond pushup</t>
  </si>
  <si>
    <t>overhead extension</t>
  </si>
  <si>
    <t>dumbbell kickback</t>
  </si>
  <si>
    <t>overhead press</t>
  </si>
  <si>
    <t>TRY NON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</si>
</sst>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sz val="16"/>
      <color theme="1"/>
      <name val="Aptos Narrow"/>
      <family val="2"/>
      <scheme val="minor"/>
    </font>
    <font>
      <sz val="16"/>
      <color theme="1"/>
      <name val="Helvetica Neue"/>
      <family val="2"/>
    </font>
    <font>
      <sz val="14"/>
      <color theme="1"/>
      <name val="-webkit-standard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iura@mol.f.u-tokyo.ac.jp" TargetMode="External"/><Relationship Id="rId7" Type="http://schemas.openxmlformats.org/officeDocument/2006/relationships/hyperlink" Target="https://www.iqb.u-tokyo.ac.jp/hirohidesaito-tokyo/en/about/" TargetMode="External"/><Relationship Id="rId2" Type="http://schemas.openxmlformats.org/officeDocument/2006/relationships/hyperlink" Target="mailto:akimitsu@ric.u-tokyo.ac.jp" TargetMode="External"/><Relationship Id="rId1" Type="http://schemas.openxmlformats.org/officeDocument/2006/relationships/hyperlink" Target="mailto:akiko.takahashi@mol.f.u-tokyo.ac.jp" TargetMode="External"/><Relationship Id="rId6" Type="http://schemas.openxmlformats.org/officeDocument/2006/relationships/hyperlink" Target="http://www.yamayoshi-lab.life.isct.ac.jp/research-en/" TargetMode="External"/><Relationship Id="rId5" Type="http://schemas.openxmlformats.org/officeDocument/2006/relationships/hyperlink" Target="http://kanolab.rcb.iir.titech.ac.jp/" TargetMode="External"/><Relationship Id="rId4" Type="http://schemas.openxmlformats.org/officeDocument/2006/relationships/hyperlink" Target="mailto:saitolab_tokyo-staff@googlegrou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12ED-39E7-A44B-A480-E22BEF8EE5FB}">
  <dimension ref="A1:H128"/>
  <sheetViews>
    <sheetView workbookViewId="0">
      <selection activeCell="A21" sqref="A21"/>
    </sheetView>
  </sheetViews>
  <sheetFormatPr baseColWidth="10" defaultRowHeight="16"/>
  <cols>
    <col min="1" max="1" width="27" bestFit="1" customWidth="1"/>
    <col min="2" max="2" width="8" bestFit="1" customWidth="1"/>
    <col min="3" max="3" width="80.83203125" bestFit="1" customWidth="1"/>
    <col min="4" max="4" width="98.5" bestFit="1" customWidth="1"/>
  </cols>
  <sheetData>
    <row r="1" spans="1:8" ht="22">
      <c r="A1" s="2" t="s">
        <v>0</v>
      </c>
      <c r="B1" s="2" t="s">
        <v>1</v>
      </c>
      <c r="C1" s="2" t="s">
        <v>5</v>
      </c>
      <c r="D1" s="2" t="s">
        <v>2</v>
      </c>
      <c r="H1" t="s">
        <v>9</v>
      </c>
    </row>
    <row r="2" spans="1:8" ht="22">
      <c r="A2" s="2" t="s">
        <v>4</v>
      </c>
      <c r="B2" s="2" t="s">
        <v>8</v>
      </c>
      <c r="C2" s="3" t="s">
        <v>10</v>
      </c>
      <c r="D2" s="2" t="s">
        <v>3</v>
      </c>
    </row>
    <row r="3" spans="1:8" ht="22">
      <c r="A3" s="2" t="s">
        <v>7</v>
      </c>
      <c r="B3" s="2"/>
      <c r="C3" s="3" t="s">
        <v>11</v>
      </c>
      <c r="D3" s="2" t="s">
        <v>6</v>
      </c>
    </row>
    <row r="4" spans="1:8" ht="22">
      <c r="A4" s="2" t="s">
        <v>12</v>
      </c>
      <c r="B4" s="2" t="s">
        <v>80</v>
      </c>
      <c r="C4" s="4" t="s">
        <v>14</v>
      </c>
      <c r="D4" s="2" t="s">
        <v>13</v>
      </c>
      <c r="E4" s="2"/>
      <c r="F4" s="2"/>
    </row>
    <row r="5" spans="1:8" ht="22">
      <c r="A5" s="2" t="s">
        <v>15</v>
      </c>
      <c r="B5" s="2"/>
      <c r="C5" s="1" t="s">
        <v>17</v>
      </c>
      <c r="D5" s="2" t="s">
        <v>16</v>
      </c>
      <c r="E5" s="2"/>
      <c r="F5" s="2"/>
    </row>
    <row r="6" spans="1:8" ht="22">
      <c r="A6" s="2" t="s">
        <v>36</v>
      </c>
      <c r="B6" s="2" t="s">
        <v>8</v>
      </c>
      <c r="C6" s="2" t="s">
        <v>38</v>
      </c>
      <c r="D6" s="2" t="s">
        <v>37</v>
      </c>
      <c r="E6" s="2"/>
      <c r="F6" s="2"/>
    </row>
    <row r="7" spans="1:8" ht="22">
      <c r="A7" s="2" t="s">
        <v>39</v>
      </c>
      <c r="B7" s="2"/>
      <c r="C7" s="2" t="s">
        <v>40</v>
      </c>
      <c r="D7" s="2" t="s">
        <v>41</v>
      </c>
      <c r="E7" s="2"/>
      <c r="F7" s="2"/>
    </row>
    <row r="8" spans="1:8" ht="22">
      <c r="A8" s="2" t="s">
        <v>91</v>
      </c>
      <c r="B8" s="2"/>
      <c r="C8" s="2" t="s">
        <v>92</v>
      </c>
      <c r="D8" s="2" t="s">
        <v>93</v>
      </c>
      <c r="E8" s="2"/>
      <c r="F8" s="2"/>
    </row>
    <row r="9" spans="1:8" ht="22">
      <c r="A9" s="2" t="s">
        <v>94</v>
      </c>
      <c r="B9" s="2" t="s">
        <v>8</v>
      </c>
      <c r="C9" s="2" t="s">
        <v>95</v>
      </c>
      <c r="D9" s="2" t="s">
        <v>96</v>
      </c>
      <c r="E9" s="2"/>
      <c r="F9" s="2"/>
    </row>
    <row r="10" spans="1:8" ht="22">
      <c r="A10" s="2" t="s">
        <v>97</v>
      </c>
      <c r="B10" s="2"/>
      <c r="C10" s="2" t="s">
        <v>98</v>
      </c>
      <c r="D10" s="2" t="s">
        <v>99</v>
      </c>
      <c r="E10" s="2"/>
      <c r="F10" s="2"/>
    </row>
    <row r="11" spans="1:8" ht="22">
      <c r="A11" s="2" t="s">
        <v>106</v>
      </c>
      <c r="B11" s="2"/>
      <c r="C11" s="2" t="s">
        <v>108</v>
      </c>
      <c r="D11" s="2" t="s">
        <v>107</v>
      </c>
      <c r="E11" s="2"/>
      <c r="F11" s="2"/>
    </row>
    <row r="12" spans="1:8" ht="22">
      <c r="A12" s="2"/>
      <c r="B12" s="2"/>
      <c r="C12" s="2"/>
      <c r="D12" s="2"/>
      <c r="E12" s="2"/>
      <c r="F12" s="2"/>
    </row>
    <row r="13" spans="1:8" ht="22">
      <c r="A13" s="2"/>
      <c r="B13" s="2"/>
      <c r="C13" s="2"/>
      <c r="D13" s="2"/>
      <c r="E13" s="2"/>
      <c r="F13" s="2"/>
    </row>
    <row r="14" spans="1:8" ht="22">
      <c r="A14" s="2"/>
      <c r="B14" s="2"/>
      <c r="C14" s="2"/>
      <c r="D14" s="2"/>
      <c r="E14" s="2"/>
      <c r="F14" s="2"/>
    </row>
    <row r="15" spans="1:8" ht="22">
      <c r="A15" s="2"/>
      <c r="B15" s="2"/>
      <c r="C15" s="2"/>
      <c r="D15" s="2"/>
      <c r="E15" s="2"/>
      <c r="F15" s="2"/>
    </row>
    <row r="16" spans="1:8" ht="22">
      <c r="A16" s="2"/>
      <c r="B16" s="2"/>
      <c r="C16" s="2"/>
      <c r="D16" s="2"/>
      <c r="E16" s="2"/>
      <c r="F16" s="2"/>
    </row>
    <row r="17" spans="1:6" ht="22">
      <c r="A17" s="2"/>
      <c r="B17" s="2"/>
      <c r="C17" s="2"/>
      <c r="D17" s="2"/>
      <c r="E17" s="2"/>
      <c r="F17" s="2"/>
    </row>
    <row r="18" spans="1:6" ht="22">
      <c r="A18" s="2" t="s">
        <v>68</v>
      </c>
      <c r="B18" s="2"/>
      <c r="C18" s="2"/>
      <c r="D18" s="2"/>
      <c r="E18" s="2"/>
      <c r="F18" s="2"/>
    </row>
    <row r="19" spans="1:6" ht="22">
      <c r="A19" s="2" t="s">
        <v>70</v>
      </c>
      <c r="B19" s="2"/>
      <c r="C19" s="2" t="s">
        <v>71</v>
      </c>
      <c r="D19" s="2" t="s">
        <v>69</v>
      </c>
      <c r="E19" s="2"/>
      <c r="F19" s="2"/>
    </row>
    <row r="20" spans="1:6" ht="22">
      <c r="A20" s="2" t="s">
        <v>72</v>
      </c>
      <c r="B20" s="2" t="s">
        <v>80</v>
      </c>
      <c r="C20" s="2" t="s">
        <v>74</v>
      </c>
      <c r="D20" s="2" t="s">
        <v>73</v>
      </c>
      <c r="E20" s="2"/>
      <c r="F20" s="2"/>
    </row>
    <row r="21" spans="1:6" ht="22">
      <c r="A21" s="2" t="s">
        <v>75</v>
      </c>
      <c r="B21" s="2"/>
      <c r="C21" s="2" t="s">
        <v>74</v>
      </c>
      <c r="D21" s="2" t="s">
        <v>76</v>
      </c>
      <c r="E21" s="2"/>
      <c r="F21" s="2"/>
    </row>
    <row r="22" spans="1:6" ht="22">
      <c r="A22" s="2" t="s">
        <v>77</v>
      </c>
      <c r="B22" s="2"/>
      <c r="C22" s="2" t="s">
        <v>78</v>
      </c>
      <c r="D22" s="2" t="s">
        <v>79</v>
      </c>
      <c r="E22" s="2"/>
      <c r="F22" s="2"/>
    </row>
    <row r="23" spans="1:6" ht="22">
      <c r="A23" s="2" t="s">
        <v>81</v>
      </c>
      <c r="B23" s="2"/>
      <c r="C23" s="2" t="s">
        <v>82</v>
      </c>
      <c r="D23" s="2" t="s">
        <v>83</v>
      </c>
      <c r="E23" s="2"/>
      <c r="F23" s="2"/>
    </row>
    <row r="24" spans="1:6" ht="22">
      <c r="A24" s="2"/>
      <c r="B24" s="2"/>
      <c r="C24" s="2"/>
      <c r="D24" s="2"/>
      <c r="E24" s="2"/>
      <c r="F24" s="2"/>
    </row>
    <row r="25" spans="1:6" ht="22">
      <c r="A25" s="2"/>
      <c r="B25" s="2"/>
      <c r="C25" s="2"/>
      <c r="D25" s="2"/>
      <c r="E25" s="2"/>
      <c r="F25" s="2"/>
    </row>
    <row r="26" spans="1:6" ht="22">
      <c r="A26" s="2"/>
      <c r="B26" s="2"/>
      <c r="C26" s="2"/>
      <c r="D26" s="2"/>
      <c r="E26" s="2"/>
      <c r="F26" s="2"/>
    </row>
    <row r="27" spans="1:6" ht="22">
      <c r="A27" s="2"/>
      <c r="B27" s="2"/>
      <c r="C27" s="2"/>
      <c r="D27" s="2"/>
      <c r="E27" s="2"/>
      <c r="F27" s="2"/>
    </row>
    <row r="28" spans="1:6" ht="22">
      <c r="A28" s="2"/>
      <c r="B28" s="2"/>
      <c r="C28" s="2"/>
      <c r="D28" s="2"/>
      <c r="E28" s="2"/>
      <c r="F28" s="2"/>
    </row>
    <row r="29" spans="1:6" ht="22">
      <c r="A29" s="2"/>
      <c r="B29" s="2"/>
      <c r="C29" s="2"/>
      <c r="D29" s="2"/>
      <c r="E29" s="2"/>
      <c r="F29" s="2"/>
    </row>
    <row r="30" spans="1:6" ht="22">
      <c r="A30" s="2"/>
      <c r="B30" s="2"/>
      <c r="C30" s="2"/>
      <c r="D30" s="2"/>
      <c r="E30" s="2"/>
      <c r="F30" s="2"/>
    </row>
    <row r="31" spans="1:6" ht="22">
      <c r="A31" s="2"/>
      <c r="B31" s="2"/>
      <c r="C31" s="2"/>
      <c r="D31" s="2"/>
      <c r="E31" s="2"/>
      <c r="F31" s="2"/>
    </row>
    <row r="32" spans="1:6" ht="22">
      <c r="A32" s="2"/>
      <c r="B32" s="2"/>
      <c r="C32" s="2"/>
      <c r="D32" s="2"/>
      <c r="E32" s="2"/>
      <c r="F32" s="2"/>
    </row>
    <row r="33" spans="1:6" ht="22">
      <c r="A33" s="2"/>
      <c r="B33" s="2"/>
      <c r="C33" s="2"/>
      <c r="D33" s="2"/>
      <c r="E33" s="2"/>
      <c r="F33" s="2"/>
    </row>
    <row r="34" spans="1:6" ht="22">
      <c r="A34" s="2" t="s">
        <v>84</v>
      </c>
      <c r="B34" s="2"/>
      <c r="C34" s="2"/>
      <c r="D34" s="2"/>
      <c r="E34" s="2"/>
      <c r="F34" s="2"/>
    </row>
    <row r="35" spans="1:6" ht="22">
      <c r="A35" s="2" t="s">
        <v>85</v>
      </c>
      <c r="B35" s="2"/>
      <c r="C35" s="2" t="s">
        <v>86</v>
      </c>
      <c r="D35" s="2" t="s">
        <v>87</v>
      </c>
      <c r="E35" s="2"/>
      <c r="F35" s="2"/>
    </row>
    <row r="36" spans="1:6" ht="22">
      <c r="A36" s="2" t="s">
        <v>88</v>
      </c>
      <c r="B36" s="2"/>
      <c r="C36" t="s">
        <v>89</v>
      </c>
      <c r="D36" s="2" t="s">
        <v>90</v>
      </c>
      <c r="E36" s="2"/>
      <c r="F36" s="2"/>
    </row>
    <row r="37" spans="1:6" ht="22">
      <c r="A37" s="2"/>
      <c r="B37" s="2"/>
      <c r="C37" s="2"/>
      <c r="D37" s="2"/>
      <c r="E37" s="2"/>
      <c r="F37" s="2"/>
    </row>
    <row r="38" spans="1:6" ht="22">
      <c r="A38" s="2"/>
      <c r="B38" s="2"/>
      <c r="C38" s="2"/>
      <c r="D38" s="2"/>
      <c r="E38" s="2"/>
      <c r="F38" s="2"/>
    </row>
    <row r="39" spans="1:6" ht="22">
      <c r="A39" s="2"/>
      <c r="B39" s="2"/>
      <c r="C39" s="2"/>
      <c r="D39" s="2"/>
      <c r="E39" s="2"/>
      <c r="F39" s="2"/>
    </row>
    <row r="40" spans="1:6" ht="22">
      <c r="A40" s="2"/>
      <c r="B40" s="2"/>
      <c r="C40" s="2"/>
      <c r="D40" s="2"/>
      <c r="E40" s="2"/>
      <c r="F40" s="2"/>
    </row>
    <row r="41" spans="1:6" ht="22">
      <c r="A41" s="2"/>
      <c r="B41" s="2"/>
      <c r="C41" s="2"/>
      <c r="D41" s="2"/>
      <c r="E41" s="2"/>
      <c r="F41" s="2"/>
    </row>
    <row r="42" spans="1:6" ht="22">
      <c r="A42" s="2"/>
      <c r="B42" s="2"/>
      <c r="C42" s="2"/>
      <c r="D42" s="2"/>
      <c r="E42" s="2"/>
      <c r="F42" s="2"/>
    </row>
    <row r="43" spans="1:6" ht="22">
      <c r="A43" s="2"/>
      <c r="B43" s="2"/>
      <c r="C43" s="2"/>
      <c r="D43" s="2"/>
      <c r="E43" s="2"/>
      <c r="F43" s="2"/>
    </row>
    <row r="44" spans="1:6" ht="22">
      <c r="A44" s="2"/>
      <c r="B44" s="2"/>
      <c r="C44" s="2"/>
      <c r="D44" s="2"/>
      <c r="E44" s="2"/>
      <c r="F44" s="2"/>
    </row>
    <row r="45" spans="1:6" ht="22">
      <c r="A45" s="2"/>
      <c r="B45" s="2"/>
      <c r="C45" s="2"/>
      <c r="D45" s="2"/>
      <c r="E45" s="2"/>
      <c r="F45" s="2"/>
    </row>
    <row r="46" spans="1:6" ht="22">
      <c r="A46" s="2"/>
      <c r="B46" s="2"/>
      <c r="C46" s="2"/>
      <c r="D46" s="2"/>
      <c r="E46" s="2"/>
      <c r="F46" s="2"/>
    </row>
    <row r="47" spans="1:6" ht="22">
      <c r="A47" s="2"/>
      <c r="B47" s="2"/>
      <c r="C47" s="2"/>
      <c r="D47" s="2"/>
      <c r="E47" s="2"/>
      <c r="F47" s="2"/>
    </row>
    <row r="48" spans="1:6" ht="22">
      <c r="A48" s="2"/>
      <c r="B48" s="2"/>
      <c r="C48" s="2"/>
      <c r="D48" s="2"/>
      <c r="E48" s="2"/>
      <c r="F48" s="2"/>
    </row>
    <row r="49" spans="1:6" ht="22">
      <c r="A49" s="2"/>
      <c r="B49" s="2"/>
      <c r="C49" s="2"/>
      <c r="D49" s="2"/>
      <c r="E49" s="2"/>
      <c r="F49" s="2"/>
    </row>
    <row r="50" spans="1:6" ht="22">
      <c r="A50" s="2"/>
      <c r="B50" s="2"/>
      <c r="C50" s="2"/>
      <c r="D50" s="2"/>
      <c r="E50" s="2"/>
      <c r="F50" s="2"/>
    </row>
    <row r="51" spans="1:6" ht="22">
      <c r="A51" s="2"/>
      <c r="B51" s="2"/>
      <c r="C51" s="2"/>
      <c r="D51" s="2"/>
      <c r="E51" s="2"/>
      <c r="F51" s="2"/>
    </row>
    <row r="52" spans="1:6" ht="22">
      <c r="A52" s="2"/>
      <c r="B52" s="2"/>
      <c r="C52" s="2"/>
      <c r="D52" s="2"/>
      <c r="E52" s="2"/>
      <c r="F52" s="2"/>
    </row>
    <row r="53" spans="1:6" ht="22">
      <c r="A53" s="2"/>
      <c r="B53" s="2"/>
      <c r="C53" s="2"/>
      <c r="D53" s="2"/>
      <c r="E53" s="2"/>
      <c r="F53" s="2"/>
    </row>
    <row r="54" spans="1:6" ht="22">
      <c r="A54" s="2"/>
      <c r="B54" s="2"/>
      <c r="C54" s="2"/>
      <c r="D54" s="2"/>
      <c r="E54" s="2"/>
      <c r="F54" s="2"/>
    </row>
    <row r="55" spans="1:6" ht="22">
      <c r="A55" s="2"/>
      <c r="B55" s="2"/>
      <c r="C55" s="2"/>
      <c r="D55" s="2"/>
      <c r="E55" s="2"/>
      <c r="F55" s="2"/>
    </row>
    <row r="56" spans="1:6" ht="22">
      <c r="A56" s="2"/>
      <c r="B56" s="2"/>
      <c r="C56" s="2"/>
      <c r="D56" s="2"/>
      <c r="E56" s="2"/>
      <c r="F56" s="2"/>
    </row>
    <row r="57" spans="1:6" ht="22">
      <c r="A57" s="2"/>
      <c r="B57" s="2"/>
      <c r="C57" s="2"/>
      <c r="D57" s="2"/>
      <c r="E57" s="2"/>
      <c r="F57" s="2"/>
    </row>
    <row r="58" spans="1:6" ht="22">
      <c r="A58" s="2"/>
      <c r="B58" s="2"/>
      <c r="C58" s="2"/>
      <c r="D58" s="2"/>
      <c r="E58" s="2"/>
      <c r="F58" s="2"/>
    </row>
    <row r="59" spans="1:6" ht="22">
      <c r="A59" s="2"/>
      <c r="B59" s="2"/>
      <c r="C59" s="2"/>
      <c r="D59" s="2"/>
      <c r="E59" s="2"/>
      <c r="F59" s="2"/>
    </row>
    <row r="60" spans="1:6" ht="22">
      <c r="A60" s="2"/>
      <c r="B60" s="2"/>
      <c r="C60" s="2"/>
      <c r="D60" s="2"/>
      <c r="E60" s="2"/>
      <c r="F60" s="2"/>
    </row>
    <row r="61" spans="1:6" ht="22">
      <c r="A61" s="2"/>
      <c r="B61" s="2"/>
      <c r="C61" s="2"/>
      <c r="D61" s="2"/>
      <c r="E61" s="2"/>
      <c r="F61" s="2"/>
    </row>
    <row r="62" spans="1:6" ht="22">
      <c r="A62" s="2"/>
      <c r="B62" s="2"/>
      <c r="C62" s="2"/>
      <c r="D62" s="2"/>
      <c r="E62" s="2"/>
      <c r="F62" s="2"/>
    </row>
    <row r="63" spans="1:6" ht="22">
      <c r="A63" s="2"/>
      <c r="B63" s="2"/>
      <c r="C63" s="2"/>
      <c r="D63" s="2"/>
      <c r="E63" s="2"/>
      <c r="F63" s="2"/>
    </row>
    <row r="64" spans="1:6" ht="22">
      <c r="A64" s="2"/>
      <c r="B64" s="2"/>
      <c r="C64" s="2"/>
      <c r="D64" s="2"/>
      <c r="E64" s="2"/>
      <c r="F64" s="2"/>
    </row>
    <row r="65" spans="1:6" ht="22">
      <c r="A65" s="2"/>
      <c r="B65" s="2"/>
      <c r="C65" s="2"/>
      <c r="D65" s="2"/>
      <c r="E65" s="2"/>
      <c r="F65" s="2"/>
    </row>
    <row r="66" spans="1:6" ht="22">
      <c r="A66" s="2"/>
      <c r="B66" s="2"/>
      <c r="C66" s="2"/>
      <c r="D66" s="2"/>
      <c r="E66" s="2"/>
      <c r="F66" s="2"/>
    </row>
    <row r="67" spans="1:6" ht="22">
      <c r="A67" s="2"/>
      <c r="B67" s="2"/>
      <c r="C67" s="2"/>
      <c r="D67" s="2"/>
      <c r="E67" s="2"/>
      <c r="F67" s="2"/>
    </row>
    <row r="68" spans="1:6" ht="22">
      <c r="A68" s="2"/>
      <c r="B68" s="2"/>
      <c r="C68" s="2"/>
      <c r="D68" s="2"/>
      <c r="E68" s="2"/>
      <c r="F68" s="2"/>
    </row>
    <row r="69" spans="1:6" ht="22">
      <c r="A69" s="2"/>
      <c r="B69" s="2"/>
      <c r="C69" s="2"/>
      <c r="D69" s="2"/>
      <c r="E69" s="2"/>
      <c r="F69" s="2"/>
    </row>
    <row r="70" spans="1:6" ht="22">
      <c r="A70" s="2"/>
      <c r="B70" s="2"/>
      <c r="C70" s="2"/>
      <c r="D70" s="2"/>
      <c r="E70" s="2"/>
      <c r="F70" s="2"/>
    </row>
    <row r="71" spans="1:6" ht="22">
      <c r="A71" s="2"/>
      <c r="B71" s="2"/>
      <c r="C71" s="2"/>
      <c r="D71" s="2"/>
      <c r="E71" s="2"/>
      <c r="F71" s="2"/>
    </row>
    <row r="72" spans="1:6" ht="22">
      <c r="A72" s="2"/>
      <c r="B72" s="2"/>
      <c r="C72" s="2"/>
      <c r="D72" s="2"/>
      <c r="E72" s="2"/>
      <c r="F72" s="2"/>
    </row>
    <row r="73" spans="1:6" ht="22">
      <c r="A73" s="2"/>
      <c r="B73" s="2"/>
      <c r="C73" s="2"/>
      <c r="D73" s="2"/>
      <c r="E73" s="2"/>
      <c r="F73" s="2"/>
    </row>
    <row r="74" spans="1:6" ht="22">
      <c r="A74" s="2"/>
      <c r="B74" s="2"/>
      <c r="C74" s="2"/>
      <c r="D74" s="2"/>
      <c r="E74" s="2"/>
      <c r="F74" s="2"/>
    </row>
    <row r="75" spans="1:6" ht="22">
      <c r="A75" s="2"/>
      <c r="B75" s="2"/>
      <c r="C75" s="2"/>
      <c r="D75" s="2"/>
      <c r="E75" s="2"/>
      <c r="F75" s="2"/>
    </row>
    <row r="76" spans="1:6" ht="22">
      <c r="A76" s="2"/>
      <c r="B76" s="2"/>
      <c r="C76" s="2"/>
      <c r="D76" s="2"/>
      <c r="E76" s="2"/>
      <c r="F76" s="2"/>
    </row>
    <row r="77" spans="1:6" ht="22">
      <c r="A77" s="2"/>
      <c r="B77" s="2"/>
      <c r="C77" s="2"/>
      <c r="D77" s="2"/>
      <c r="E77" s="2"/>
      <c r="F77" s="2"/>
    </row>
    <row r="78" spans="1:6" ht="22">
      <c r="A78" s="2"/>
      <c r="B78" s="2"/>
      <c r="C78" s="2"/>
      <c r="D78" s="2"/>
      <c r="E78" s="2"/>
      <c r="F78" s="2"/>
    </row>
    <row r="79" spans="1:6" ht="22">
      <c r="A79" s="2"/>
      <c r="B79" s="2"/>
      <c r="C79" s="2"/>
      <c r="D79" s="2"/>
      <c r="E79" s="2"/>
      <c r="F79" s="2"/>
    </row>
    <row r="80" spans="1:6" ht="22">
      <c r="A80" s="2"/>
      <c r="B80" s="2"/>
      <c r="C80" s="2"/>
      <c r="D80" s="2"/>
      <c r="E80" s="2"/>
      <c r="F80" s="2"/>
    </row>
    <row r="81" spans="1:6" ht="22">
      <c r="A81" s="2"/>
      <c r="B81" s="2"/>
      <c r="C81" s="2"/>
      <c r="D81" s="2"/>
      <c r="E81" s="2"/>
      <c r="F81" s="2"/>
    </row>
    <row r="82" spans="1:6" ht="22">
      <c r="A82" s="2"/>
      <c r="B82" s="2"/>
      <c r="C82" s="2"/>
      <c r="D82" s="2"/>
      <c r="E82" s="2"/>
      <c r="F82" s="2"/>
    </row>
    <row r="83" spans="1:6" ht="22">
      <c r="A83" s="2"/>
      <c r="B83" s="2"/>
      <c r="C83" s="2"/>
      <c r="D83" s="2"/>
      <c r="E83" s="2"/>
      <c r="F83" s="2"/>
    </row>
    <row r="84" spans="1:6" ht="22">
      <c r="A84" s="2"/>
      <c r="B84" s="2"/>
      <c r="C84" s="2"/>
      <c r="D84" s="2"/>
      <c r="E84" s="2"/>
      <c r="F84" s="2"/>
    </row>
    <row r="85" spans="1:6" ht="22">
      <c r="A85" s="2"/>
      <c r="B85" s="2"/>
      <c r="C85" s="2"/>
      <c r="D85" s="2"/>
      <c r="E85" s="2"/>
      <c r="F85" s="2"/>
    </row>
    <row r="86" spans="1:6" ht="22">
      <c r="A86" s="2"/>
      <c r="B86" s="2"/>
      <c r="C86" s="2"/>
      <c r="D86" s="2"/>
      <c r="E86" s="2"/>
      <c r="F86" s="2"/>
    </row>
    <row r="87" spans="1:6" ht="22">
      <c r="A87" s="2"/>
      <c r="B87" s="2"/>
      <c r="C87" s="2"/>
      <c r="D87" s="2"/>
      <c r="E87" s="2"/>
      <c r="F87" s="2"/>
    </row>
    <row r="88" spans="1:6" ht="22">
      <c r="A88" s="2"/>
      <c r="B88" s="2"/>
      <c r="C88" s="2"/>
      <c r="D88" s="2"/>
      <c r="E88" s="2"/>
      <c r="F88" s="2"/>
    </row>
    <row r="89" spans="1:6" ht="22">
      <c r="A89" s="2"/>
      <c r="B89" s="2"/>
      <c r="C89" s="2"/>
      <c r="D89" s="2"/>
      <c r="E89" s="2"/>
      <c r="F89" s="2"/>
    </row>
    <row r="90" spans="1:6" ht="22">
      <c r="A90" s="2"/>
      <c r="B90" s="2"/>
      <c r="C90" s="2"/>
      <c r="D90" s="2"/>
      <c r="E90" s="2"/>
      <c r="F90" s="2"/>
    </row>
    <row r="91" spans="1:6" ht="22">
      <c r="A91" s="2"/>
      <c r="B91" s="2"/>
      <c r="C91" s="2"/>
      <c r="D91" s="2"/>
      <c r="E91" s="2"/>
      <c r="F91" s="2"/>
    </row>
    <row r="92" spans="1:6" ht="22">
      <c r="A92" s="2"/>
      <c r="B92" s="2"/>
      <c r="C92" s="2"/>
      <c r="D92" s="2"/>
      <c r="E92" s="2"/>
      <c r="F92" s="2"/>
    </row>
    <row r="93" spans="1:6" ht="22">
      <c r="A93" s="2"/>
      <c r="B93" s="2"/>
      <c r="C93" s="2"/>
      <c r="D93" s="2"/>
      <c r="E93" s="2"/>
      <c r="F93" s="2"/>
    </row>
    <row r="94" spans="1:6" ht="22">
      <c r="A94" s="2"/>
      <c r="B94" s="2"/>
      <c r="C94" s="2"/>
      <c r="D94" s="2"/>
      <c r="E94" s="2"/>
      <c r="F94" s="2"/>
    </row>
    <row r="95" spans="1:6" ht="22">
      <c r="A95" s="2"/>
      <c r="B95" s="2"/>
      <c r="C95" s="2"/>
      <c r="D95" s="2"/>
      <c r="E95" s="2"/>
      <c r="F95" s="2"/>
    </row>
    <row r="96" spans="1:6" ht="22">
      <c r="A96" s="2"/>
      <c r="B96" s="2"/>
      <c r="C96" s="2"/>
      <c r="D96" s="2"/>
      <c r="E96" s="2"/>
      <c r="F96" s="2"/>
    </row>
    <row r="97" spans="1:6" ht="22">
      <c r="A97" s="2"/>
      <c r="B97" s="2"/>
      <c r="C97" s="2"/>
      <c r="D97" s="2"/>
      <c r="E97" s="2"/>
      <c r="F97" s="2"/>
    </row>
    <row r="98" spans="1:6" ht="22">
      <c r="A98" s="2"/>
      <c r="B98" s="2"/>
      <c r="C98" s="2"/>
      <c r="D98" s="2"/>
      <c r="E98" s="2"/>
      <c r="F98" s="2"/>
    </row>
    <row r="99" spans="1:6" ht="22">
      <c r="A99" s="2"/>
      <c r="B99" s="2"/>
      <c r="C99" s="2"/>
      <c r="D99" s="2"/>
      <c r="E99" s="2"/>
      <c r="F99" s="2"/>
    </row>
    <row r="100" spans="1:6" ht="22">
      <c r="A100" s="2"/>
      <c r="B100" s="2"/>
      <c r="C100" s="2"/>
      <c r="D100" s="2"/>
      <c r="E100" s="2"/>
      <c r="F100" s="2"/>
    </row>
    <row r="101" spans="1:6" ht="22">
      <c r="A101" s="2"/>
      <c r="B101" s="2"/>
      <c r="C101" s="2"/>
      <c r="D101" s="2"/>
      <c r="E101" s="2"/>
      <c r="F101" s="2"/>
    </row>
    <row r="102" spans="1:6" ht="22">
      <c r="A102" s="2"/>
      <c r="B102" s="2"/>
      <c r="C102" s="2"/>
      <c r="D102" s="2"/>
      <c r="E102" s="2"/>
      <c r="F102" s="2"/>
    </row>
    <row r="103" spans="1:6" ht="22">
      <c r="A103" s="2"/>
      <c r="B103" s="2"/>
      <c r="C103" s="2"/>
      <c r="D103" s="2"/>
      <c r="E103" s="2"/>
      <c r="F103" s="2"/>
    </row>
    <row r="104" spans="1:6" ht="22">
      <c r="A104" s="2"/>
      <c r="B104" s="2"/>
      <c r="C104" s="2"/>
      <c r="D104" s="2"/>
      <c r="E104" s="2"/>
      <c r="F104" s="2"/>
    </row>
    <row r="105" spans="1:6" ht="22">
      <c r="A105" s="2"/>
      <c r="B105" s="2"/>
      <c r="C105" s="2"/>
      <c r="D105" s="2"/>
      <c r="E105" s="2"/>
      <c r="F105" s="2"/>
    </row>
    <row r="106" spans="1:6" ht="22">
      <c r="A106" s="2"/>
      <c r="B106" s="2"/>
      <c r="C106" s="2"/>
      <c r="D106" s="2"/>
      <c r="E106" s="2"/>
      <c r="F106" s="2"/>
    </row>
    <row r="107" spans="1:6" ht="22">
      <c r="A107" s="2"/>
      <c r="B107" s="2"/>
      <c r="C107" s="2"/>
      <c r="D107" s="2"/>
      <c r="E107" s="2"/>
      <c r="F107" s="2"/>
    </row>
    <row r="108" spans="1:6" ht="22">
      <c r="A108" s="2"/>
      <c r="B108" s="2"/>
      <c r="C108" s="2"/>
      <c r="D108" s="2"/>
      <c r="E108" s="2"/>
      <c r="F108" s="2"/>
    </row>
    <row r="109" spans="1:6" ht="22">
      <c r="A109" s="2"/>
      <c r="B109" s="2"/>
      <c r="C109" s="2"/>
      <c r="D109" s="2"/>
      <c r="E109" s="2"/>
      <c r="F109" s="2"/>
    </row>
    <row r="110" spans="1:6" ht="22">
      <c r="A110" s="2"/>
      <c r="B110" s="2"/>
      <c r="C110" s="2"/>
      <c r="D110" s="2"/>
      <c r="E110" s="2"/>
      <c r="F110" s="2"/>
    </row>
    <row r="111" spans="1:6" ht="22">
      <c r="A111" s="2"/>
      <c r="B111" s="2"/>
      <c r="C111" s="2"/>
      <c r="D111" s="2"/>
      <c r="E111" s="2"/>
      <c r="F111" s="2"/>
    </row>
    <row r="112" spans="1:6" ht="22">
      <c r="A112" s="2"/>
      <c r="B112" s="2"/>
      <c r="C112" s="2"/>
      <c r="D112" s="2"/>
      <c r="E112" s="2"/>
      <c r="F112" s="2"/>
    </row>
    <row r="113" spans="1:6" ht="22">
      <c r="A113" s="2"/>
      <c r="B113" s="2"/>
      <c r="C113" s="2"/>
      <c r="D113" s="2"/>
      <c r="E113" s="2"/>
      <c r="F113" s="2"/>
    </row>
    <row r="114" spans="1:6" ht="22">
      <c r="A114" s="2"/>
      <c r="B114" s="2"/>
      <c r="C114" s="2"/>
      <c r="D114" s="2"/>
      <c r="E114" s="2"/>
      <c r="F114" s="2"/>
    </row>
    <row r="115" spans="1:6" ht="22">
      <c r="A115" s="2"/>
      <c r="B115" s="2"/>
      <c r="C115" s="2"/>
      <c r="D115" s="2"/>
      <c r="E115" s="2"/>
      <c r="F115" s="2"/>
    </row>
    <row r="116" spans="1:6" ht="22">
      <c r="A116" s="2"/>
      <c r="B116" s="2"/>
      <c r="C116" s="2"/>
      <c r="D116" s="2"/>
      <c r="E116" s="2"/>
      <c r="F116" s="2"/>
    </row>
    <row r="117" spans="1:6" ht="22">
      <c r="A117" s="2"/>
      <c r="B117" s="2"/>
      <c r="C117" s="2"/>
      <c r="D117" s="2"/>
      <c r="E117" s="2"/>
      <c r="F117" s="2"/>
    </row>
    <row r="118" spans="1:6" ht="22">
      <c r="A118" s="2"/>
      <c r="B118" s="2"/>
      <c r="C118" s="2"/>
      <c r="D118" s="2"/>
      <c r="E118" s="2"/>
      <c r="F118" s="2"/>
    </row>
    <row r="119" spans="1:6" ht="22">
      <c r="A119" s="2"/>
      <c r="B119" s="2"/>
      <c r="C119" s="2"/>
      <c r="D119" s="2"/>
      <c r="E119" s="2"/>
      <c r="F119" s="2"/>
    </row>
    <row r="120" spans="1:6" ht="22">
      <c r="A120" s="2"/>
      <c r="B120" s="2"/>
      <c r="C120" s="2"/>
      <c r="D120" s="2"/>
      <c r="E120" s="2"/>
      <c r="F120" s="2"/>
    </row>
    <row r="121" spans="1:6" ht="22">
      <c r="A121" s="2"/>
      <c r="B121" s="2"/>
      <c r="C121" s="2"/>
      <c r="D121" s="2"/>
      <c r="E121" s="2"/>
      <c r="F121" s="2"/>
    </row>
    <row r="122" spans="1:6" ht="22">
      <c r="A122" s="2"/>
      <c r="B122" s="2"/>
      <c r="C122" s="2"/>
      <c r="D122" s="2"/>
      <c r="E122" s="2"/>
      <c r="F122" s="2"/>
    </row>
    <row r="123" spans="1:6" ht="22">
      <c r="A123" s="2"/>
      <c r="B123" s="2"/>
      <c r="C123" s="2"/>
      <c r="D123" s="2"/>
      <c r="E123" s="2"/>
      <c r="F123" s="2"/>
    </row>
    <row r="124" spans="1:6" ht="22">
      <c r="A124" s="2"/>
      <c r="B124" s="2"/>
      <c r="C124" s="2"/>
      <c r="D124" s="2"/>
      <c r="E124" s="2"/>
      <c r="F124" s="2"/>
    </row>
    <row r="125" spans="1:6" ht="22">
      <c r="A125" s="2"/>
      <c r="B125" s="2"/>
      <c r="C125" s="2"/>
      <c r="D125" s="2"/>
      <c r="E125" s="2"/>
      <c r="F125" s="2"/>
    </row>
    <row r="126" spans="1:6" ht="22">
      <c r="A126" s="2"/>
      <c r="B126" s="2"/>
      <c r="C126" s="2"/>
      <c r="D126" s="2"/>
      <c r="E126" s="2"/>
      <c r="F126" s="2"/>
    </row>
    <row r="127" spans="1:6" ht="22">
      <c r="A127" s="2"/>
      <c r="B127" s="2"/>
      <c r="C127" s="2"/>
      <c r="D127" s="2"/>
      <c r="E127" s="2"/>
      <c r="F127" s="2"/>
    </row>
    <row r="128" spans="1:6" ht="22">
      <c r="A128" s="2"/>
      <c r="B128" s="2"/>
      <c r="C128" s="2"/>
      <c r="D128" s="2"/>
      <c r="E128" s="2"/>
      <c r="F1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C00D-8453-1242-9A19-3CBBAE6F7A03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9737-D155-254A-A5B4-02062BFDEC7E}">
  <dimension ref="A1:G26"/>
  <sheetViews>
    <sheetView workbookViewId="0">
      <selection activeCell="E6" sqref="E6"/>
    </sheetView>
  </sheetViews>
  <sheetFormatPr baseColWidth="10" defaultRowHeight="16"/>
  <cols>
    <col min="1" max="1" width="15.1640625" bestFit="1" customWidth="1"/>
    <col min="2" max="2" width="17.33203125" bestFit="1" customWidth="1"/>
    <col min="5" max="5" width="51.33203125" bestFit="1" customWidth="1"/>
    <col min="6" max="6" width="33.83203125" bestFit="1" customWidth="1"/>
    <col min="7" max="7" width="32.1640625" customWidth="1"/>
  </cols>
  <sheetData>
    <row r="1" spans="1:6">
      <c r="A1" s="5" t="s">
        <v>22</v>
      </c>
    </row>
    <row r="2" spans="1:6">
      <c r="A2" s="5" t="s">
        <v>20</v>
      </c>
      <c r="B2" t="s">
        <v>19</v>
      </c>
      <c r="C2" t="s">
        <v>21</v>
      </c>
      <c r="D2" t="s">
        <v>1</v>
      </c>
      <c r="E2" t="s">
        <v>23</v>
      </c>
      <c r="F2" t="s">
        <v>25</v>
      </c>
    </row>
    <row r="3" spans="1:6">
      <c r="A3" t="s">
        <v>28</v>
      </c>
      <c r="B3" t="s">
        <v>29</v>
      </c>
      <c r="C3" t="s">
        <v>9</v>
      </c>
      <c r="E3" t="s">
        <v>26</v>
      </c>
      <c r="F3" s="6" t="s">
        <v>27</v>
      </c>
    </row>
    <row r="4" spans="1:6">
      <c r="A4" t="s">
        <v>30</v>
      </c>
      <c r="B4" t="s">
        <v>29</v>
      </c>
      <c r="E4" t="s">
        <v>31</v>
      </c>
      <c r="F4" s="6" t="s">
        <v>32</v>
      </c>
    </row>
    <row r="5" spans="1:6">
      <c r="A5" t="s">
        <v>42</v>
      </c>
      <c r="B5" t="s">
        <v>29</v>
      </c>
      <c r="E5" t="s">
        <v>43</v>
      </c>
      <c r="F5" s="6" t="s">
        <v>44</v>
      </c>
    </row>
    <row r="6" spans="1:6">
      <c r="A6" t="s">
        <v>45</v>
      </c>
      <c r="B6" t="s">
        <v>29</v>
      </c>
      <c r="C6" t="s">
        <v>9</v>
      </c>
      <c r="E6" s="6" t="s">
        <v>46</v>
      </c>
      <c r="F6" s="6" t="s">
        <v>47</v>
      </c>
    </row>
    <row r="7" spans="1:6">
      <c r="A7" t="s">
        <v>66</v>
      </c>
      <c r="B7" t="s">
        <v>29</v>
      </c>
      <c r="E7" t="s">
        <v>67</v>
      </c>
    </row>
    <row r="12" spans="1:6">
      <c r="A12" s="5" t="s">
        <v>18</v>
      </c>
    </row>
    <row r="13" spans="1:6">
      <c r="A13" t="s">
        <v>20</v>
      </c>
      <c r="B13" t="s">
        <v>19</v>
      </c>
      <c r="C13" t="s">
        <v>21</v>
      </c>
      <c r="D13" t="s">
        <v>1</v>
      </c>
      <c r="E13" t="s">
        <v>23</v>
      </c>
    </row>
    <row r="14" spans="1:6">
      <c r="A14" t="s">
        <v>34</v>
      </c>
      <c r="B14" t="s">
        <v>33</v>
      </c>
      <c r="E14" t="s">
        <v>35</v>
      </c>
    </row>
    <row r="22" spans="1:7">
      <c r="A22" s="5" t="s">
        <v>24</v>
      </c>
    </row>
    <row r="23" spans="1:7">
      <c r="A23" t="s">
        <v>20</v>
      </c>
      <c r="B23" t="s">
        <v>19</v>
      </c>
      <c r="C23" t="s">
        <v>21</v>
      </c>
      <c r="D23" t="s">
        <v>1</v>
      </c>
      <c r="E23" t="s">
        <v>23</v>
      </c>
      <c r="G23" t="s">
        <v>58</v>
      </c>
    </row>
    <row r="24" spans="1:7">
      <c r="A24" t="s">
        <v>55</v>
      </c>
      <c r="B24" t="s">
        <v>56</v>
      </c>
      <c r="E24" t="s">
        <v>57</v>
      </c>
      <c r="G24" t="s">
        <v>59</v>
      </c>
    </row>
    <row r="25" spans="1:7">
      <c r="A25" t="s">
        <v>60</v>
      </c>
      <c r="B25" t="s">
        <v>56</v>
      </c>
      <c r="E25" s="6" t="s">
        <v>61</v>
      </c>
      <c r="G25" t="s">
        <v>62</v>
      </c>
    </row>
    <row r="26" spans="1:7">
      <c r="A26" t="s">
        <v>63</v>
      </c>
      <c r="B26" t="s">
        <v>56</v>
      </c>
      <c r="E26" s="6" t="s">
        <v>64</v>
      </c>
      <c r="G26" t="s">
        <v>65</v>
      </c>
    </row>
  </sheetData>
  <hyperlinks>
    <hyperlink ref="F3" r:id="rId1" xr:uid="{B59CEA89-6063-8346-9502-F399453B72D5}"/>
    <hyperlink ref="F4" r:id="rId2" xr:uid="{64231FA1-E378-F94F-AF61-FEF64AA6452B}"/>
    <hyperlink ref="F5" r:id="rId3" xr:uid="{458FF3EF-0C74-5F46-A1D8-078DA6BA7AE5}"/>
    <hyperlink ref="F6" r:id="rId4" xr:uid="{4919E574-3FDC-C44A-87B7-6BEBAC4D9837}"/>
    <hyperlink ref="E25" r:id="rId5" xr:uid="{C22D5242-51F6-B14A-9EC0-51B6F8280560}"/>
    <hyperlink ref="E26" r:id="rId6" xr:uid="{2E38C630-BAC5-2D40-BF46-73453C502C37}"/>
    <hyperlink ref="E6" r:id="rId7" xr:uid="{2881D760-2861-A544-A6C8-3C84C43CB93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0AE6-D3F7-AA44-A33C-5465F6A4B592}">
  <dimension ref="A1:D2"/>
  <sheetViews>
    <sheetView workbookViewId="0">
      <selection activeCell="C5" sqref="C5"/>
    </sheetView>
  </sheetViews>
  <sheetFormatPr baseColWidth="10" defaultRowHeight="16"/>
  <cols>
    <col min="2" max="2" width="11.5" bestFit="1" customWidth="1"/>
    <col min="3" max="3" width="30" bestFit="1" customWidth="1"/>
    <col min="4" max="4" width="27.83203125" bestFit="1" customWidth="1"/>
  </cols>
  <sheetData>
    <row r="1" spans="1:4">
      <c r="A1" t="s">
        <v>100</v>
      </c>
      <c r="B1" t="s">
        <v>0</v>
      </c>
      <c r="C1" t="s">
        <v>5</v>
      </c>
      <c r="D1" t="s">
        <v>101</v>
      </c>
    </row>
    <row r="2" spans="1:4">
      <c r="A2" t="s">
        <v>103</v>
      </c>
      <c r="B2" t="s">
        <v>104</v>
      </c>
      <c r="C2" t="s">
        <v>105</v>
      </c>
      <c r="D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D76B-3305-9E4B-BFD4-01AFE0E758A7}">
  <dimension ref="A1:C4"/>
  <sheetViews>
    <sheetView topLeftCell="B1" workbookViewId="0">
      <selection activeCell="I32" sqref="I32:L34"/>
    </sheetView>
  </sheetViews>
  <sheetFormatPr baseColWidth="10" defaultRowHeight="16"/>
  <cols>
    <col min="3" max="3" width="56.5" bestFit="1" customWidth="1"/>
  </cols>
  <sheetData>
    <row r="1" spans="1:3">
      <c r="A1" t="s">
        <v>100</v>
      </c>
      <c r="C1" t="s">
        <v>113</v>
      </c>
    </row>
    <row r="2" spans="1:3">
      <c r="A2" t="s">
        <v>110</v>
      </c>
      <c r="C2" t="s">
        <v>114</v>
      </c>
    </row>
    <row r="3" spans="1:3">
      <c r="A3" t="s">
        <v>111</v>
      </c>
    </row>
    <row r="4" spans="1:3">
      <c r="A4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4A6E-4578-E44A-9A71-1F038170BC63}">
  <dimension ref="A1:H23"/>
  <sheetViews>
    <sheetView tabSelected="1" workbookViewId="0">
      <selection activeCell="H18" sqref="H18"/>
    </sheetView>
  </sheetViews>
  <sheetFormatPr baseColWidth="10" defaultRowHeight="16"/>
  <cols>
    <col min="1" max="1" width="16.33203125" bestFit="1" customWidth="1"/>
    <col min="3" max="3" width="18.83203125" bestFit="1" customWidth="1"/>
    <col min="6" max="6" width="13.33203125" bestFit="1" customWidth="1"/>
  </cols>
  <sheetData>
    <row r="1" spans="1:8"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B2">
        <v>12</v>
      </c>
      <c r="C2">
        <v>7.5</v>
      </c>
      <c r="D2">
        <v>10</v>
      </c>
      <c r="E2">
        <v>4.5</v>
      </c>
      <c r="F2">
        <v>5</v>
      </c>
      <c r="G2">
        <v>4.5</v>
      </c>
      <c r="H2">
        <v>2</v>
      </c>
    </row>
    <row r="3" spans="1:8">
      <c r="B3">
        <v>10</v>
      </c>
      <c r="C3">
        <v>8</v>
      </c>
      <c r="D3">
        <v>6</v>
      </c>
      <c r="E3">
        <v>4</v>
      </c>
      <c r="F3">
        <v>5.5</v>
      </c>
      <c r="G3">
        <v>4.5</v>
      </c>
      <c r="H3">
        <v>4</v>
      </c>
    </row>
    <row r="4" spans="1:8">
      <c r="B4">
        <v>13</v>
      </c>
      <c r="C4">
        <v>9</v>
      </c>
      <c r="D4">
        <v>9.5</v>
      </c>
      <c r="E4">
        <v>5.5</v>
      </c>
      <c r="F4">
        <v>5.5</v>
      </c>
      <c r="G4">
        <v>6.5</v>
      </c>
      <c r="H4">
        <v>5</v>
      </c>
    </row>
    <row r="5" spans="1:8">
      <c r="A5" t="s">
        <v>109</v>
      </c>
      <c r="B5">
        <v>10</v>
      </c>
      <c r="C5">
        <v>9</v>
      </c>
      <c r="D5">
        <v>6</v>
      </c>
      <c r="E5">
        <v>5</v>
      </c>
      <c r="F5">
        <v>4.5</v>
      </c>
      <c r="G5">
        <v>4</v>
      </c>
      <c r="H5">
        <v>4</v>
      </c>
    </row>
    <row r="6" spans="1:8">
      <c r="B6">
        <v>13</v>
      </c>
      <c r="C6">
        <v>9</v>
      </c>
      <c r="D6">
        <v>6.5</v>
      </c>
      <c r="E6">
        <v>5.5</v>
      </c>
      <c r="F6">
        <v>4.5</v>
      </c>
      <c r="G6">
        <v>4.5</v>
      </c>
      <c r="H6">
        <v>4</v>
      </c>
    </row>
    <row r="11" spans="1:8">
      <c r="B11" t="s">
        <v>119</v>
      </c>
      <c r="C11" t="s">
        <v>120</v>
      </c>
      <c r="D11" t="s">
        <v>121</v>
      </c>
      <c r="E11" t="s">
        <v>122</v>
      </c>
      <c r="F11" t="s">
        <v>126</v>
      </c>
      <c r="G11" t="s">
        <v>127</v>
      </c>
      <c r="H11" t="s">
        <v>123</v>
      </c>
    </row>
    <row r="12" spans="1:8">
      <c r="B12">
        <v>1</v>
      </c>
      <c r="C12" t="s">
        <v>124</v>
      </c>
    </row>
    <row r="13" spans="1:8">
      <c r="C13" t="s">
        <v>125</v>
      </c>
    </row>
    <row r="14" spans="1:8">
      <c r="C14" t="s">
        <v>128</v>
      </c>
    </row>
    <row r="15" spans="1:8">
      <c r="C15" t="s">
        <v>129</v>
      </c>
    </row>
    <row r="16" spans="1:8">
      <c r="C16" t="s">
        <v>130</v>
      </c>
    </row>
    <row r="17" spans="1:7">
      <c r="A17" t="s">
        <v>137</v>
      </c>
      <c r="C17" t="s">
        <v>131</v>
      </c>
      <c r="D17">
        <v>3</v>
      </c>
      <c r="E17">
        <f>24+21+16</f>
        <v>61</v>
      </c>
      <c r="G17">
        <v>10</v>
      </c>
    </row>
    <row r="18" spans="1:7">
      <c r="C18" t="s">
        <v>132</v>
      </c>
      <c r="D18">
        <v>2</v>
      </c>
      <c r="E18">
        <f>11+9.5</f>
        <v>20.5</v>
      </c>
      <c r="G18">
        <v>64</v>
      </c>
    </row>
    <row r="19" spans="1:7">
      <c r="C19" t="s">
        <v>133</v>
      </c>
      <c r="D19">
        <v>2</v>
      </c>
      <c r="E19">
        <f>19+14</f>
        <v>33</v>
      </c>
      <c r="G19">
        <v>64</v>
      </c>
    </row>
    <row r="20" spans="1:7">
      <c r="C20" t="s">
        <v>134</v>
      </c>
      <c r="D20">
        <v>1</v>
      </c>
      <c r="E20">
        <v>17</v>
      </c>
      <c r="G20">
        <v>17.5</v>
      </c>
    </row>
    <row r="21" spans="1:7">
      <c r="C21" t="s">
        <v>135</v>
      </c>
      <c r="D21">
        <v>2</v>
      </c>
      <c r="E21">
        <f>16+16</f>
        <v>32</v>
      </c>
      <c r="G21">
        <v>10</v>
      </c>
    </row>
    <row r="22" spans="1:7">
      <c r="C22" t="s">
        <v>136</v>
      </c>
      <c r="D22">
        <v>2</v>
      </c>
      <c r="E22">
        <f>20+18</f>
        <v>38</v>
      </c>
      <c r="G22">
        <v>10</v>
      </c>
    </row>
    <row r="23" spans="1:7">
      <c r="C23" t="s">
        <v>130</v>
      </c>
      <c r="D23">
        <v>1</v>
      </c>
      <c r="E23">
        <v>14</v>
      </c>
      <c r="G23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D81E-32BF-6D41-B76A-B9A31DEF55F3}">
  <dimension ref="A1:D1"/>
  <sheetViews>
    <sheetView workbookViewId="0">
      <selection activeCell="D1" sqref="D1"/>
    </sheetView>
  </sheetViews>
  <sheetFormatPr baseColWidth="10" defaultRowHeight="16"/>
  <cols>
    <col min="3" max="3" width="15.1640625" bestFit="1" customWidth="1"/>
  </cols>
  <sheetData>
    <row r="1" spans="1:4">
      <c r="A1" t="s">
        <v>115</v>
      </c>
      <c r="B1" t="s">
        <v>116</v>
      </c>
      <c r="C1" t="s">
        <v>117</v>
      </c>
      <c r="D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4학년 랩</vt:lpstr>
      <vt:lpstr>Work learn</vt:lpstr>
      <vt:lpstr>日本の大学院</vt:lpstr>
      <vt:lpstr>カナダの大学院</vt:lpstr>
      <vt:lpstr>アメリカの大学院</vt:lpstr>
      <vt:lpstr>운동</vt:lpstr>
      <vt:lpstr>Bioinformatics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irumi81@student.ubc.ca</dc:creator>
  <cp:lastModifiedBy>irumi81@student.ubc.ca</cp:lastModifiedBy>
  <dcterms:created xsi:type="dcterms:W3CDTF">2026-06-24T19:24:56Z</dcterms:created>
  <dcterms:modified xsi:type="dcterms:W3CDTF">2026-07-24T00:37:51Z</dcterms:modified>
</cp:coreProperties>
</file>